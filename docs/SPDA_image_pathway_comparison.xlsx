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0c70707b7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0b8843205a4c54"/>
    <x:sheet xmlns:r="http://schemas.openxmlformats.org/officeDocument/2006/relationships" name="Full comparison" sheetId="2" r:id="Rc2681e4dbc4f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"/>
  </x:numFmts>
  <x:fonts count="12">
    <x:font>
      <x:sz val="11"/>
      <x:name val="Carlito"/>
    </x:font>
    <x:font>
      <x:b/>
      <x:sz val="15"/>
      <x:color rgb="FF17365D"/>
      <x:name val="Arial"/>
    </x:font>
    <x:font>
      <x:b/>
      <x:sz val="10"/>
      <x:color rgb="FF215E2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sz val="9"/>
      <x:color rgb="FF404040"/>
      <x:name val="Arial"/>
    </x:font>
    <x:font>
      <x:i/>
      <x:sz val="9"/>
      <x:color rgb="FF595959"/>
      <x:name val="Arial"/>
    </x:font>
    <x:font>
      <x:i/>
      <x:sz val="8"/>
      <x:color rgb="FF7F7F7F"/>
      <x:name val="Arial"/>
    </x:font>
    <x:font>
      <x:b/>
      <x:sz val="14"/>
      <x:color rgb="FF17365D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202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b56ee9a6445eb" /><Relationship Type="http://schemas.openxmlformats.org/officeDocument/2006/relationships/theme" Target="/xl/theme/theme1.xml" Id="Rdbefee044f5547d2" /><Relationship Type="http://schemas.openxmlformats.org/officeDocument/2006/relationships/sharedStrings" Target="/xl/sharedStrings.xml" Id="R449df6b63e3c4d09" /><Relationship Type="http://schemas.openxmlformats.org/officeDocument/2006/relationships/worksheet" Target="/xl/worksheets/sheet1.xml" Id="Ra50b8843205a4c54" /><Relationship Type="http://schemas.openxmlformats.org/officeDocument/2006/relationships/worksheet" Target="/xl/worksheets/sheet2.xml" Id="Rc2681e4dbc4f4634" /></Relationships>
</file>

<file path=xl/tables/table1.xml><?xml version="1.0" encoding="utf-8"?>
<x:table xmlns:x="http://schemas.openxmlformats.org/spreadsheetml/2006/main" id="1" name="RecommendedImages" displayName="RecommendedImages" ref="A6:J11" headerRowCount="1" totalsRowCount="0" totalsRowShown="0">
  <x:tableColumns count="10">
    <x:tableColumn id="1" name="Suggested use"/>
    <x:tableColumn id="2" name="Image"/>
    <x:tableColumn id="3" name="Common complete mires"/>
    <x:tableColumn id="4" name="Placido complete"/>
    <x:tableColumn id="5" name="SmartKC complete"/>
    <x:tableColumn id="6" name="Eigen-ratio difference"/>
    <x:tableColumn id="7" name="Irregularity difference (pp)"/>
    <x:tableColumn id="8" name="Centre-dispersion difference (px)"/>
    <x:tableColumn id="9" name="Axial difference (deg)"/>
    <x:tableColumn id="10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DAPathwayComparison" displayName="SPDAPathwayComparison" ref="A4:W20" headerRowCount="1" totalsRowCount="0" totalsRowShown="0">
  <x:tableColumns count="23">
    <x:tableColumn id="1" name="Screening note"/>
    <x:tableColumn id="2" name="Group"/>
    <x:tableColumn id="3" name="Image"/>
    <x:tableColumn id="4" name="Placido detected mires"/>
    <x:tableColumn id="5" name="Placido complete mires"/>
    <x:tableColumn id="6" name="SmartKC detected mires"/>
    <x:tableColumn id="7" name="SmartKC complete mires"/>
    <x:tableColumn id="8" name="Common complete mires"/>
    <x:tableColumn id="9" name="Common mire IDs"/>
    <x:tableColumn id="10" name="Placido mean eigen ratio"/>
    <x:tableColumn id="11" name="SmartKC mean eigen ratio"/>
    <x:tableColumn id="12" name="Eigen-ratio difference"/>
    <x:tableColumn id="13" name="Placido mean irregularity (%)"/>
    <x:tableColumn id="14" name="SmartKC mean irregularity (%)"/>
    <x:tableColumn id="15" name="Irregularity difference (pp)"/>
    <x:tableColumn id="16" name="Placido centre dispersion (px)"/>
    <x:tableColumn id="17" name="SmartKC centre dispersion (px)"/>
    <x:tableColumn id="18" name="Centre-dispersion difference (px)"/>
    <x:tableColumn id="19" name="Placido mean flat axis (deg)"/>
    <x:tableColumn id="20" name="SmartKC mean flat axis (deg)"/>
    <x:tableColumn id="21" name="Axial difference (deg)"/>
    <x:tableColumn id="22" name="Status"/>
    <x:tableColumn id="23" name="Source image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622ba03074a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b7546d27ba47c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7" hidden="0" customWidth="1"/>
    <x:col min="4" max="4" width="15" hidden="0" customWidth="1"/>
    <x:col min="5" max="5" width="15" hidden="0" customWidth="1"/>
    <x:col min="6" max="6" width="17" hidden="0" customWidth="1"/>
    <x:col min="7" max="7" width="19" hidden="0" customWidth="1"/>
    <x:col min="8" max="8" width="21" hidden="0" customWidth="1"/>
    <x:col min="9" max="9" width="17" hidden="0" customWidth="1"/>
    <x:col min="10" max="10" width="64" hidden="0" customWidth="1"/>
  </x:cols>
  <x:sheetData>
    <x:row r="2">
      <x:c r="A2" s="1" t="str">
        <x:v>SPDA image comparison: Placido and SmartKC pathways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6" customHeight="1">
      <x:c r="A4" s="6" t="str">
        <x:v>Primary recommendation: use Control/MO_OS.jpg for the examiner trial. It gives the most consistent agreement between the two pathways across axis, eigen ratio, irregularity, and centre dispersion.</x:v>
      </x:c>
    </x:row>
    <x:row r="6" ht="34" customHeight="1">
      <x:c r="A6" s="11" t="str">
        <x:v>Suggested use</x:v>
      </x:c>
      <x:c r="B6" s="11" t="str">
        <x:v>Image</x:v>
      </x:c>
      <x:c r="C6" s="11" t="str">
        <x:v>Common complete mires</x:v>
      </x:c>
      <x:c r="D6" s="11" t="str">
        <x:v>Placido complete</x:v>
      </x:c>
      <x:c r="E6" s="11" t="str">
        <x:v>SmartKC complete</x:v>
      </x:c>
      <x:c r="F6" s="11" t="str">
        <x:v>Eigen-ratio difference</x:v>
      </x:c>
      <x:c r="G6" s="11" t="str">
        <x:v>Irregularity difference (pp)</x:v>
      </x:c>
      <x:c r="H6" s="11" t="str">
        <x:v>Centre-dispersion difference (px)</x:v>
      </x:c>
      <x:c r="I6" s="11" t="str">
        <x:v>Axial difference (deg)</x:v>
      </x:c>
      <x:c r="J6" s="11" t="str">
        <x:v>Reason</x:v>
      </x:c>
    </x:row>
    <x:row r="7" ht="31" customHeight="1">
      <x:c r="A7" s="13" t="str">
        <x:v>Primary trial</x:v>
      </x:c>
      <x:c r="B7" s="13" t="str">
        <x:v>Control/MO_OS.jpg</x:v>
      </x:c>
      <x:c r="C7" s="16" t="n">
        <x:v>6</x:v>
      </x:c>
      <x:c r="D7" s="16" t="n">
        <x:v>6</x:v>
      </x:c>
      <x:c r="E7" s="16" t="n">
        <x:v>15</x:v>
      </x:c>
      <x:c r="F7" s="14" t="n">
        <x:v>0.0000333147751363505</x:v>
      </x:c>
      <x:c r="G7" s="15" t="n">
        <x:v>0.241250531396452</x:v>
      </x:c>
      <x:c r="H7" s="15" t="n">
        <x:v>0.385969533784471</x:v>
      </x:c>
      <x:c r="I7" s="15" t="n">
        <x:v>0.830008221633506</x:v>
      </x:c>
      <x:c r="J7" s="17" t="str">
        <x:v>Recommended primary trial. Strongest overall agreement across the comparison measures.</x:v>
      </x:c>
    </x:row>
    <x:row r="8" ht="31" customHeight="1">
      <x:c r="A8" s="13" t="str">
        <x:v>Second trial</x:v>
      </x:c>
      <x:c r="B8" s="13" t="str">
        <x:v>Control/KR_OS.jpg</x:v>
      </x:c>
      <x:c r="C8" s="16" t="n">
        <x:v>7</x:v>
      </x:c>
      <x:c r="D8" s="16" t="n">
        <x:v>7</x:v>
      </x:c>
      <x:c r="E8" s="16" t="n">
        <x:v>14</x:v>
      </x:c>
      <x:c r="F8" s="14" t="n">
        <x:v>0.000590549765488224</x:v>
      </x:c>
      <x:c r="G8" s="15" t="n">
        <x:v>2.8948277038261</x:v>
      </x:c>
      <x:c r="H8" s="15" t="n">
        <x:v>2.31232657370372</x:v>
      </x:c>
      <x:c r="I8" s="15" t="n">
        <x:v>2.17146160304122</x:v>
      </x:c>
      <x:c r="J8" s="17" t="str">
        <x:v>Recommended second trial. Seven common complete mires and close axis/eigen-ratio agreement.</x:v>
      </x:c>
    </x:row>
    <x:row r="9" ht="31" customHeight="1">
      <x:c r="A9" s="13" t="str">
        <x:v>Alternative</x:v>
      </x:c>
      <x:c r="B9" s="13" t="str">
        <x:v>Control/FA_OD.jpg</x:v>
      </x:c>
      <x:c r="C9" s="16" t="n">
        <x:v>7</x:v>
      </x:c>
      <x:c r="D9" s="16" t="n">
        <x:v>7</x:v>
      </x:c>
      <x:c r="E9" s="16" t="n">
        <x:v>18</x:v>
      </x:c>
      <x:c r="F9" s="14" t="n">
        <x:v>0.000791588728469517</x:v>
      </x:c>
      <x:c r="G9" s="15" t="n">
        <x:v>2.20471653369629</x:v>
      </x:c>
      <x:c r="H9" s="15" t="n">
        <x:v>0.731101730546551</x:v>
      </x:c>
      <x:c r="I9" s="15" t="n">
        <x:v>11.1384253159364</x:v>
      </x:c>
      <x:c r="J9" s="17" t="str">
        <x:v>Suitable alternative. Seven common complete mires with good shape agreement.</x:v>
      </x:c>
    </x:row>
    <x:row r="10" ht="31" customHeight="1">
      <x:c r="A10" s="13" t="str">
        <x:v>More common mires</x:v>
      </x:c>
      <x:c r="B10" s="13" t="str">
        <x:v>Control/SM_OD.jpg</x:v>
      </x:c>
      <x:c r="C10" s="16" t="n">
        <x:v>9</x:v>
      </x:c>
      <x:c r="D10" s="16" t="n">
        <x:v>9</x:v>
      </x:c>
      <x:c r="E10" s="16" t="n">
        <x:v>17</x:v>
      </x:c>
      <x:c r="F10" s="14" t="n">
        <x:v>0.00119177050885944</x:v>
      </x:c>
      <x:c r="G10" s="15" t="n">
        <x:v>1.40741783142345</x:v>
      </x:c>
      <x:c r="H10" s="15" t="n">
        <x:v>1.57166102475421</x:v>
      </x:c>
      <x:c r="I10" s="15" t="n">
        <x:v>21.4795264523748</x:v>
      </x:c>
      <x:c r="J10" s="17" t="str">
        <x:v>Highest common-complete count, with weaker axis agreement than the primary choices.</x:v>
      </x:c>
    </x:row>
    <x:row r="11" ht="31" customHeight="1">
      <x:c r="A11" s="13" t="str">
        <x:v>KCN example</x:v>
      </x:c>
      <x:c r="B11" s="13" t="str">
        <x:v>KCN/SM_OD.jpg</x:v>
      </x:c>
      <x:c r="C11" s="16" t="n">
        <x:v>4</x:v>
      </x:c>
      <x:c r="D11" s="16" t="n">
        <x:v>4</x:v>
      </x:c>
      <x:c r="E11" s="16" t="n">
        <x:v>12</x:v>
      </x:c>
      <x:c r="F11" s="14" t="n">
        <x:v>0.0649891452328767</x:v>
      </x:c>
      <x:c r="G11" s="15" t="n">
        <x:v>0.149746661849045</x:v>
      </x:c>
      <x:c r="H11" s="15" t="n">
        <x:v>1.53166234388974</x:v>
      </x:c>
      <x:c r="I11" s="15" t="n">
        <x:v>10.4923897153608</x:v>
      </x:c>
      <x:c r="J11" s="17" t="str">
        <x:v>KCN option if a diseased-eye example is required. Only four common complete mires.</x:v>
      </x:c>
    </x:row>
    <x:row r="14">
      <x:c r="A14" s="19" t="str">
        <x:v>Term</x:v>
      </x:c>
      <x:c r="B14" s="19" t="str">
        <x:v>Meaning in this comparison</x:v>
      </x:c>
    </x:row>
    <x:row r="15" ht="24" customHeight="1">
      <x:c r="A15" s="22" t="str">
        <x:v>Detected mires</x:v>
      </x:c>
      <x:c r="B15" s="22" t="str">
        <x:v>All mire centre-lines found by the pathway, including incomplete detections.</x:v>
      </x:c>
      <x:c r="C15" s="22"/>
      <x:c r="D15" s="22"/>
      <x:c r="E15" s="22"/>
      <x:c r="F15" s="22"/>
      <x:c r="G15" s="22"/>
      <x:c r="H15" s="22"/>
      <x:c r="I15" s="22"/>
      <x:c r="J15" s="22"/>
    </x:row>
    <x:row r="16" ht="24" customHeight="1">
      <x:c r="A16" s="22" t="str">
        <x:v>Complete mires</x:v>
      </x:c>
      <x:c r="B16" s="22" t="str">
        <x:v>Mires that passed that pathway's completeness gate.</x:v>
      </x:c>
      <x:c r="C16" s="22"/>
      <x:c r="D16" s="22"/>
      <x:c r="E16" s="22"/>
      <x:c r="F16" s="22"/>
      <x:c r="G16" s="22"/>
      <x:c r="H16" s="22"/>
      <x:c r="I16" s="22"/>
      <x:c r="J16" s="22"/>
    </x:row>
    <x:row r="17" ht="24" customHeight="1">
      <x:c r="A17" s="22" t="str">
        <x:v>Common complete mires</x:v>
      </x:c>
      <x:c r="B17" s="22" t="str">
        <x:v>Mire IDs complete in both pathways; only these are used for the paired comparison.</x:v>
      </x:c>
      <x:c r="C17" s="22"/>
      <x:c r="D17" s="22"/>
      <x:c r="E17" s="22"/>
      <x:c r="F17" s="22"/>
      <x:c r="G17" s="22"/>
      <x:c r="H17" s="22"/>
      <x:c r="I17" s="22"/>
      <x:c r="J17" s="22"/>
    </x:row>
    <x:row r="18" ht="24" customHeight="1">
      <x:c r="A18" s="22" t="str">
        <x:v>Axis difference</x:v>
      </x:c>
      <x:c r="B18" s="22" t="str">
        <x:v>Smallest difference between axes represented modulo 180 degrees; reported from 0 to 90 degrees. Near-circular mires can make axis estimates unstable.</x:v>
      </x:c>
      <x:c r="C18" s="22"/>
      <x:c r="D18" s="22"/>
      <x:c r="E18" s="22"/>
      <x:c r="F18" s="22"/>
      <x:c r="G18" s="22"/>
      <x:c r="H18" s="22"/>
      <x:c r="I18" s="22"/>
      <x:c r="J18" s="22"/>
    </x:row>
    <x:row r="20">
      <x:c r="A20" s="24" t="str">
        <x:v>This is a technical demonstration screen, not a clinical validation. Prefer common complete mires and agreement across several measures rather than any single metric.</x:v>
      </x:c>
    </x:row>
    <x:row r="21">
      <x:c r="A21" s="25" t="str">
        <x:v>Source: D:/MATLAB/_spda_evaluation/run_20260921_023335/SPDA_pathway_comparison.csv. Current Smartphone Topographer pipeline, mire range 1–30, run 21 September 2026.</x:v>
      </x:c>
    </x:row>
  </x:sheetData>
  <x:mergeCells>
    <x:mergeCell ref="A2:J2"/>
    <x:mergeCell ref="A4:J4"/>
    <x:mergeCell ref="B15:J15"/>
    <x:mergeCell ref="B16:J16"/>
    <x:mergeCell ref="B17:J17"/>
    <x:mergeCell ref="B18:J18"/>
    <x:mergeCell ref="A20:J20"/>
    <x:mergeCell ref="A21:J21"/>
  </x:mergeCells>
  <x:conditionalFormatting sqref="C7:C11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I7:I11">
    <x:cfRule type="colorScale" priority="2">
      <x:colorScale>
        <x:cfvo type="min"/>
        <x:cfvo type="percentile" val="50"/>
        <x:cfvo type="max"/>
        <x:color rgb="FFE2F0D9"/>
        <x:color rgb="FFFFF2CC"/>
        <x:color rgb="FFFCE8E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38622ba03074a50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54" hidden="0" customWidth="1"/>
    <x:col min="2" max="2" width="11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8" hidden="0" customWidth="1"/>
    <x:col min="19" max="19" width="15" hidden="0" customWidth="1"/>
    <x:col min="20" max="20" width="15" hidden="0" customWidth="1"/>
    <x:col min="21" max="21" width="14" hidden="0" customWidth="1"/>
    <x:col min="22" max="22" width="24" hidden="0" customWidth="1"/>
    <x:col min="23" max="23" width="55" hidden="0" customWidth="1"/>
  </x:cols>
  <x:sheetData>
    <x:row r="2">
      <x:c r="A2" s="26" t="str">
        <x:v>Full pathway comparison for all 16 SPDA images</x:v>
      </x:c>
    </x:row>
    <x:row r="4" ht="42" customHeight="1">
      <x:c r="A4" s="32" t="str">
        <x:v>Screening note</x:v>
      </x:c>
      <x:c r="B4" s="32" t="str">
        <x:v>Group</x:v>
      </x:c>
      <x:c r="C4" s="32" t="str">
        <x:v>Image</x:v>
      </x:c>
      <x:c r="D4" s="32" t="str">
        <x:v>Placido detected mires</x:v>
      </x:c>
      <x:c r="E4" s="32" t="str">
        <x:v>Placido complete mires</x:v>
      </x:c>
      <x:c r="F4" s="32" t="str">
        <x:v>SmartKC detected mires</x:v>
      </x:c>
      <x:c r="G4" s="32" t="str">
        <x:v>SmartKC complete mires</x:v>
      </x:c>
      <x:c r="H4" s="32" t="str">
        <x:v>Common complete mires</x:v>
      </x:c>
      <x:c r="I4" s="32" t="str">
        <x:v>Common mire IDs</x:v>
      </x:c>
      <x:c r="J4" s="32" t="str">
        <x:v>Placido mean eigen ratio</x:v>
      </x:c>
      <x:c r="K4" s="32" t="str">
        <x:v>SmartKC mean eigen ratio</x:v>
      </x:c>
      <x:c r="L4" s="32" t="str">
        <x:v>Eigen-ratio difference</x:v>
      </x:c>
      <x:c r="M4" s="32" t="str">
        <x:v>Placido mean irregularity (%)</x:v>
      </x:c>
      <x:c r="N4" s="32" t="str">
        <x:v>SmartKC mean irregularity (%)</x:v>
      </x:c>
      <x:c r="O4" s="32" t="str">
        <x:v>Irregularity difference (pp)</x:v>
      </x:c>
      <x:c r="P4" s="32" t="str">
        <x:v>Placido centre dispersion (px)</x:v>
      </x:c>
      <x:c r="Q4" s="32" t="str">
        <x:v>SmartKC centre dispersion (px)</x:v>
      </x:c>
      <x:c r="R4" s="32" t="str">
        <x:v>Centre-dispersion difference (px)</x:v>
      </x:c>
      <x:c r="S4" s="32" t="str">
        <x:v>Placido mean flat axis (deg)</x:v>
      </x:c>
      <x:c r="T4" s="32" t="str">
        <x:v>SmartKC mean flat axis (deg)</x:v>
      </x:c>
      <x:c r="U4" s="32" t="str">
        <x:v>Axial difference (deg)</x:v>
      </x:c>
      <x:c r="V4" s="32" t="str">
        <x:v>Status</x:v>
      </x:c>
      <x:c r="W4" s="32" t="str">
        <x:v>Source image path</x:v>
      </x:c>
    </x:row>
    <x:row r="5">
      <x:c r="A5" s="36" t="str">
        <x:v>Highest common-complete count, with weaker axis agreement than the primary choices.</x:v>
      </x:c>
      <x:c r="B5" s="27" t="str">
        <x:v>Control</x:v>
      </x:c>
      <x:c r="C5" s="27" t="str">
        <x:v>SM_OD</x:v>
      </x:c>
      <x:c r="D5" s="33" t="n">
        <x:v>13</x:v>
      </x:c>
      <x:c r="E5" s="33" t="n">
        <x:v>9</x:v>
      </x:c>
      <x:c r="F5" s="33" t="n">
        <x:v>22</x:v>
      </x:c>
      <x:c r="G5" s="33" t="n">
        <x:v>17</x:v>
      </x:c>
      <x:c r="H5" s="33" t="n">
        <x:v>9</x:v>
      </x:c>
      <x:c r="I5" s="27" t="str">
        <x:v>[1 2 3 4 5 6 7 8 9]</x:v>
      </x:c>
      <x:c r="J5" s="34" t="n">
        <x:v>0.991986530389153</x:v>
      </x:c>
      <x:c r="K5" s="34" t="n">
        <x:v>0.990794759880294</x:v>
      </x:c>
      <x:c r="L5" s="34" t="n">
        <x:v>0.00119177050885944</x:v>
      </x:c>
      <x:c r="M5" s="35" t="n">
        <x:v>3.9517193763759</x:v>
      </x:c>
      <x:c r="N5" s="35" t="n">
        <x:v>5.35913720779934</x:v>
      </x:c>
      <x:c r="O5" s="35" t="n">
        <x:v>1.40741783142345</x:v>
      </x:c>
      <x:c r="P5" s="35" t="n">
        <x:v>2.20418250780261</x:v>
      </x:c>
      <x:c r="Q5" s="35" t="n">
        <x:v>3.77584353255682</x:v>
      </x:c>
      <x:c r="R5" s="35" t="n">
        <x:v>1.57166102475421</x:v>
      </x:c>
      <x:c r="S5" s="35" t="n">
        <x:v>135.471618125366</x:v>
      </x:c>
      <x:c r="T5" s="35" t="n">
        <x:v>113.992091672991</x:v>
      </x:c>
      <x:c r="U5" s="35" t="n">
        <x:v>21.4795264523748</x:v>
      </x:c>
      <x:c r="V5" s="27" t="str">
        <x:v>OK</x:v>
      </x:c>
      <x:c r="W5" s="27" t="str">
        <x:v>D:\MATLAB\placido\Data\Images\SPDA\Control\SM_OD.jpg</x:v>
      </x:c>
    </x:row>
    <x:row r="6">
      <x:c r="A6" s="36" t="str">
        <x:v>Available for further review; agreement is less balanced than the recommended control images.</x:v>
      </x:c>
      <x:c r="B6" s="27" t="str">
        <x:v>KCN</x:v>
      </x:c>
      <x:c r="C6" s="27" t="str">
        <x:v>VS_OS</x:v>
      </x:c>
      <x:c r="D6" s="33" t="n">
        <x:v>14</x:v>
      </x:c>
      <x:c r="E6" s="33" t="n">
        <x:v>8</x:v>
      </x:c>
      <x:c r="F6" s="33" t="n">
        <x:v>20</x:v>
      </x:c>
      <x:c r="G6" s="33" t="n">
        <x:v>14</x:v>
      </x:c>
      <x:c r="H6" s="33" t="n">
        <x:v>8</x:v>
      </x:c>
      <x:c r="I6" s="27" t="str">
        <x:v>[1 2 3 4 5 6 7 8]</x:v>
      </x:c>
      <x:c r="J6" s="34" t="n">
        <x:v>0.930930766111803</x:v>
      </x:c>
      <x:c r="K6" s="34" t="n">
        <x:v>0.973662864929318</x:v>
      </x:c>
      <x:c r="L6" s="34" t="n">
        <x:v>0.0427320988175146</x:v>
      </x:c>
      <x:c r="M6" s="35" t="n">
        <x:v>8.5669504020636</x:v>
      </x:c>
      <x:c r="N6" s="35" t="n">
        <x:v>6.22947095423749</x:v>
      </x:c>
      <x:c r="O6" s="35" t="n">
        <x:v>2.33747944782611</x:v>
      </x:c>
      <x:c r="P6" s="35" t="n">
        <x:v>2.47199357355547</x:v>
      </x:c>
      <x:c r="Q6" s="35" t="n">
        <x:v>2.9908923035902</x:v>
      </x:c>
      <x:c r="R6" s="35" t="n">
        <x:v>0.518898730034727</x:v>
      </x:c>
      <x:c r="S6" s="35" t="n">
        <x:v>129.082875807827</x:v>
      </x:c>
      <x:c r="T6" s="35" t="n">
        <x:v>51.0540757241546</x:v>
      </x:c>
      <x:c r="U6" s="35" t="n">
        <x:v>78.0288000836728</x:v>
      </x:c>
      <x:c r="V6" s="27" t="str">
        <x:v>OK</x:v>
      </x:c>
      <x:c r="W6" s="27" t="str">
        <x:v>D:\MATLAB\placido\Data\Images\SPDA\KCN\VS_OS.jpg</x:v>
      </x:c>
    </x:row>
    <x:row r="7">
      <x:c r="A7" s="36" t="str">
        <x:v>Recommended second trial. Seven common complete mires and close axis/eigen-ratio agreement.</x:v>
      </x:c>
      <x:c r="B7" s="27" t="str">
        <x:v>Control</x:v>
      </x:c>
      <x:c r="C7" s="27" t="str">
        <x:v>KR_OS</x:v>
      </x:c>
      <x:c r="D7" s="33" t="n">
        <x:v>13</x:v>
      </x:c>
      <x:c r="E7" s="33" t="n">
        <x:v>7</x:v>
      </x:c>
      <x:c r="F7" s="33" t="n">
        <x:v>21</x:v>
      </x:c>
      <x:c r="G7" s="33" t="n">
        <x:v>14</x:v>
      </x:c>
      <x:c r="H7" s="33" t="n">
        <x:v>7</x:v>
      </x:c>
      <x:c r="I7" s="27" t="str">
        <x:v>[2 3 4 5 6 7 8]</x:v>
      </x:c>
      <x:c r="J7" s="34" t="n">
        <x:v>0.980927640543418</x:v>
      </x:c>
      <x:c r="K7" s="34" t="n">
        <x:v>0.981518190308906</x:v>
      </x:c>
      <x:c r="L7" s="34" t="n">
        <x:v>0.000590549765488224</x:v>
      </x:c>
      <x:c r="M7" s="35" t="n">
        <x:v>5.53200525833577</x:v>
      </x:c>
      <x:c r="N7" s="35" t="n">
        <x:v>2.63717755450967</x:v>
      </x:c>
      <x:c r="O7" s="35" t="n">
        <x:v>2.8948277038261</x:v>
      </x:c>
      <x:c r="P7" s="35" t="n">
        <x:v>1.18659090780245</x:v>
      </x:c>
      <x:c r="Q7" s="35" t="n">
        <x:v>3.49891748150618</x:v>
      </x:c>
      <x:c r="R7" s="35" t="n">
        <x:v>2.31232657370372</x:v>
      </x:c>
      <x:c r="S7" s="35" t="n">
        <x:v>1.22012240766199</x:v>
      </x:c>
      <x:c r="T7" s="35" t="n">
        <x:v>3.39158401070321</x:v>
      </x:c>
      <x:c r="U7" s="35" t="n">
        <x:v>2.17146160304122</x:v>
      </x:c>
      <x:c r="V7" s="27" t="str">
        <x:v>OK</x:v>
      </x:c>
      <x:c r="W7" s="27" t="str">
        <x:v>D:\MATLAB\placido\Data\Images\SPDA\Control\KR_OS.jpg</x:v>
      </x:c>
    </x:row>
    <x:row r="8">
      <x:c r="A8" s="36" t="str">
        <x:v>Suitable alternative. Seven common complete mires with good shape agreement.</x:v>
      </x:c>
      <x:c r="B8" s="27" t="str">
        <x:v>Control</x:v>
      </x:c>
      <x:c r="C8" s="27" t="str">
        <x:v>FA_OD</x:v>
      </x:c>
      <x:c r="D8" s="33" t="n">
        <x:v>12</x:v>
      </x:c>
      <x:c r="E8" s="33" t="n">
        <x:v>7</x:v>
      </x:c>
      <x:c r="F8" s="33" t="n">
        <x:v>22</x:v>
      </x:c>
      <x:c r="G8" s="33" t="n">
        <x:v>18</x:v>
      </x:c>
      <x:c r="H8" s="33" t="n">
        <x:v>7</x:v>
      </x:c>
      <x:c r="I8" s="27" t="str">
        <x:v>[1 2 3 4 5 6 7]</x:v>
      </x:c>
      <x:c r="J8" s="34" t="n">
        <x:v>0.990720951212611</x:v>
      </x:c>
      <x:c r="K8" s="34" t="n">
        <x:v>0.991512539941081</x:v>
      </x:c>
      <x:c r="L8" s="34" t="n">
        <x:v>0.000791588728469517</x:v>
      </x:c>
      <x:c r="M8" s="35" t="n">
        <x:v>1.7736548034563</x:v>
      </x:c>
      <x:c r="N8" s="35" t="n">
        <x:v>3.97837133715259</x:v>
      </x:c>
      <x:c r="O8" s="35" t="n">
        <x:v>2.20471653369629</x:v>
      </x:c>
      <x:c r="P8" s="35" t="n">
        <x:v>0.999312873357723</x:v>
      </x:c>
      <x:c r="Q8" s="35" t="n">
        <x:v>1.73041460390427</x:v>
      </x:c>
      <x:c r="R8" s="35" t="n">
        <x:v>0.731101730546551</x:v>
      </x:c>
      <x:c r="S8" s="35" t="n">
        <x:v>168.221222441025</x:v>
      </x:c>
      <x:c r="T8" s="35" t="n">
        <x:v>157.082797125089</x:v>
      </x:c>
      <x:c r="U8" s="35" t="n">
        <x:v>11.1384253159364</x:v>
      </x:c>
      <x:c r="V8" s="27" t="str">
        <x:v>OK</x:v>
      </x:c>
      <x:c r="W8" s="27" t="str">
        <x:v>D:\MATLAB\placido\Data\Images\SPDA\Control\FA_OD.jpg</x:v>
      </x:c>
    </x:row>
    <x:row r="9">
      <x:c r="A9" s="36" t="str">
        <x:v>Available for further review; agreement is less balanced than the recommended control images.</x:v>
      </x:c>
      <x:c r="B9" s="27" t="str">
        <x:v>KCN</x:v>
      </x:c>
      <x:c r="C9" s="27" t="str">
        <x:v>SM_OS</x:v>
      </x:c>
      <x:c r="D9" s="33" t="n">
        <x:v>15</x:v>
      </x:c>
      <x:c r="E9" s="33" t="n">
        <x:v>7</x:v>
      </x:c>
      <x:c r="F9" s="33" t="n">
        <x:v>21</x:v>
      </x:c>
      <x:c r="G9" s="33" t="n">
        <x:v>15</x:v>
      </x:c>
      <x:c r="H9" s="33" t="n">
        <x:v>7</x:v>
      </x:c>
      <x:c r="I9" s="27" t="str">
        <x:v>[2 3 4 5 6 7 8]</x:v>
      </x:c>
      <x:c r="J9" s="34" t="n">
        <x:v>0.944942962096195</x:v>
      </x:c>
      <x:c r="K9" s="34" t="n">
        <x:v>0.967811112981609</x:v>
      </x:c>
      <x:c r="L9" s="34" t="n">
        <x:v>0.0228681508854139</x:v>
      </x:c>
      <x:c r="M9" s="35" t="n">
        <x:v>8.23351406301032</x:v>
      </x:c>
      <x:c r="N9" s="35" t="n">
        <x:v>3.42203889103815</x:v>
      </x:c>
      <x:c r="O9" s="35" t="n">
        <x:v>4.81147517197217</x:v>
      </x:c>
      <x:c r="P9" s="35" t="n">
        <x:v>4.98726894540679</x:v>
      </x:c>
      <x:c r="Q9" s="35" t="n">
        <x:v>2.47070057650272</x:v>
      </x:c>
      <x:c r="R9" s="35" t="n">
        <x:v>2.51656836890407</x:v>
      </x:c>
      <x:c r="S9" s="35" t="n">
        <x:v>146.965652561415</x:v>
      </x:c>
      <x:c r="T9" s="35" t="n">
        <x:v>47.2612040242097</x:v>
      </x:c>
      <x:c r="U9" s="35" t="n">
        <x:v>80.2955514627945</x:v>
      </x:c>
      <x:c r="V9" s="27" t="str">
        <x:v>OK</x:v>
      </x:c>
      <x:c r="W9" s="27" t="str">
        <x:v>D:\MATLAB\placido\Data\Images\SPDA\KCN\SM_OS.jpg</x:v>
      </x:c>
    </x:row>
    <x:row r="10">
      <x:c r="A10" s="36" t="str">
        <x:v>Recommended primary trial. Strongest overall agreement across the comparison measures.</x:v>
      </x:c>
      <x:c r="B10" s="27" t="str">
        <x:v>Control</x:v>
      </x:c>
      <x:c r="C10" s="27" t="str">
        <x:v>MO_OS</x:v>
      </x:c>
      <x:c r="D10" s="33" t="n">
        <x:v>12</x:v>
      </x:c>
      <x:c r="E10" s="33" t="n">
        <x:v>6</x:v>
      </x:c>
      <x:c r="F10" s="33" t="n">
        <x:v>21</x:v>
      </x:c>
      <x:c r="G10" s="33" t="n">
        <x:v>15</x:v>
      </x:c>
      <x:c r="H10" s="33" t="n">
        <x:v>6</x:v>
      </x:c>
      <x:c r="I10" s="27" t="str">
        <x:v>[1 2 3 4 5 6]</x:v>
      </x:c>
      <x:c r="J10" s="34" t="n">
        <x:v>0.994754989983766</x:v>
      </x:c>
      <x:c r="K10" s="34" t="n">
        <x:v>0.994721675208629</x:v>
      </x:c>
      <x:c r="L10" s="34" t="n">
        <x:v>0.0000333147751363505</x:v>
      </x:c>
      <x:c r="M10" s="35" t="n">
        <x:v>2.37520090782781</x:v>
      </x:c>
      <x:c r="N10" s="35" t="n">
        <x:v>2.13395037643136</x:v>
      </x:c>
      <x:c r="O10" s="35" t="n">
        <x:v>0.241250531396452</x:v>
      </x:c>
      <x:c r="P10" s="35" t="n">
        <x:v>2.24059842550817</x:v>
      </x:c>
      <x:c r="Q10" s="35" t="n">
        <x:v>2.62656795929264</x:v>
      </x:c>
      <x:c r="R10" s="35" t="n">
        <x:v>0.385969533784471</x:v>
      </x:c>
      <x:c r="S10" s="35" t="n">
        <x:v>3.62415208968026</x:v>
      </x:c>
      <x:c r="T10" s="35" t="n">
        <x:v>2.79414386804676</x:v>
      </x:c>
      <x:c r="U10" s="35" t="n">
        <x:v>0.830008221633506</x:v>
      </x:c>
      <x:c r="V10" s="27" t="str">
        <x:v>OK</x:v>
      </x:c>
      <x:c r="W10" s="27" t="str">
        <x:v>D:\MATLAB\placido\Data\Images\SPDA\Control\MO_OS.jpg</x:v>
      </x:c>
    </x:row>
    <x:row r="11">
      <x:c r="A11" s="36" t="str">
        <x:v>Available for further review; agreement is less balanced than the recommended control images.</x:v>
      </x:c>
      <x:c r="B11" s="27" t="str">
        <x:v>Control</x:v>
      </x:c>
      <x:c r="C11" s="27" t="str">
        <x:v>MY_OD</x:v>
      </x:c>
      <x:c r="D11" s="33" t="n">
        <x:v>13</x:v>
      </x:c>
      <x:c r="E11" s="33" t="n">
        <x:v>6</x:v>
      </x:c>
      <x:c r="F11" s="33" t="n">
        <x:v>22</x:v>
      </x:c>
      <x:c r="G11" s="33" t="n">
        <x:v>18</x:v>
      </x:c>
      <x:c r="H11" s="33" t="n">
        <x:v>6</x:v>
      </x:c>
      <x:c r="I11" s="27" t="str">
        <x:v>[1 2 3 4 5 6]</x:v>
      </x:c>
      <x:c r="J11" s="34" t="n">
        <x:v>0.995694725351197</x:v>
      </x:c>
      <x:c r="K11" s="34" t="n">
        <x:v>0.976632323835216</x:v>
      </x:c>
      <x:c r="L11" s="34" t="n">
        <x:v>0.0190624015159807</x:v>
      </x:c>
      <x:c r="M11" s="35" t="n">
        <x:v>5.45080986058397</x:v>
      </x:c>
      <x:c r="N11" s="35" t="n">
        <x:v>4.31109602694781</x:v>
      </x:c>
      <x:c r="O11" s="35" t="n">
        <x:v>1.13971383363616</x:v>
      </x:c>
      <x:c r="P11" s="35" t="n">
        <x:v>0.464697784213675</x:v>
      </x:c>
      <x:c r="Q11" s="35" t="n">
        <x:v>1.42620405434486</x:v>
      </x:c>
      <x:c r="R11" s="35" t="n">
        <x:v>0.961506270131185</x:v>
      </x:c>
      <x:c r="S11" s="35" t="n">
        <x:v>156.649341393722</x:v>
      </x:c>
      <x:c r="T11" s="35" t="n">
        <x:v>170.789846959721</x:v>
      </x:c>
      <x:c r="U11" s="35" t="n">
        <x:v>14.1405055659982</x:v>
      </x:c>
      <x:c r="V11" s="27" t="str">
        <x:v>OK</x:v>
      </x:c>
      <x:c r="W11" s="27" t="str">
        <x:v>D:\MATLAB\placido\Data\Images\SPDA\Control\MY_OD.jpg</x:v>
      </x:c>
    </x:row>
    <x:row r="12">
      <x:c r="A12" s="36" t="str">
        <x:v>Available for further review; agreement is less balanced than the recommended control images.</x:v>
      </x:c>
      <x:c r="B12" s="27" t="str">
        <x:v>Control</x:v>
      </x:c>
      <x:c r="C12" s="27" t="str">
        <x:v>FA_OS</x:v>
      </x:c>
      <x:c r="D12" s="33" t="n">
        <x:v>13</x:v>
      </x:c>
      <x:c r="E12" s="33" t="n">
        <x:v>6</x:v>
      </x:c>
      <x:c r="F12" s="33" t="n">
        <x:v>22</x:v>
      </x:c>
      <x:c r="G12" s="33" t="n">
        <x:v>17</x:v>
      </x:c>
      <x:c r="H12" s="33" t="n">
        <x:v>6</x:v>
      </x:c>
      <x:c r="I12" s="27" t="str">
        <x:v>[2 3 4 5 6 7]</x:v>
      </x:c>
      <x:c r="J12" s="34" t="n">
        <x:v>0.988926766023684</x:v>
      </x:c>
      <x:c r="K12" s="34" t="n">
        <x:v>0.989942746753034</x:v>
      </x:c>
      <x:c r="L12" s="34" t="n">
        <x:v>0.00101598072935005</x:v>
      </x:c>
      <x:c r="M12" s="35" t="n">
        <x:v>1.78492175186148</x:v>
      </x:c>
      <x:c r="N12" s="35" t="n">
        <x:v>3.16515860885796</x:v>
      </x:c>
      <x:c r="O12" s="35" t="n">
        <x:v>1.38023685699648</x:v>
      </x:c>
      <x:c r="P12" s="35" t="n">
        <x:v>0.63230072776076</x:v>
      </x:c>
      <x:c r="Q12" s="35" t="n">
        <x:v>0.715905529101848</x:v>
      </x:c>
      <x:c r="R12" s="35" t="n">
        <x:v>0.0836048013410886</x:v>
      </x:c>
      <x:c r="S12" s="35" t="n">
        <x:v>16.5570840530782</x:v>
      </x:c>
      <x:c r="T12" s="35" t="n">
        <x:v>173.71307991518</x:v>
      </x:c>
      <x:c r="U12" s="35" t="n">
        <x:v>22.8440041378986</x:v>
      </x:c>
      <x:c r="V12" s="27" t="str">
        <x:v>OK</x:v>
      </x:c>
      <x:c r="W12" s="27" t="str">
        <x:v>D:\MATLAB\placido\Data\Images\SPDA\Control\FA_OS.jpg</x:v>
      </x:c>
    </x:row>
    <x:row r="13">
      <x:c r="A13" s="36" t="str">
        <x:v>Available for further review; agreement is less balanced than the recommended control images.</x:v>
      </x:c>
      <x:c r="B13" s="27" t="str">
        <x:v>Control</x:v>
      </x:c>
      <x:c r="C13" s="27" t="str">
        <x:v>RI_OD</x:v>
      </x:c>
      <x:c r="D13" s="33" t="n">
        <x:v>11</x:v>
      </x:c>
      <x:c r="E13" s="33" t="n">
        <x:v>6</x:v>
      </x:c>
      <x:c r="F13" s="33" t="n">
        <x:v>22</x:v>
      </x:c>
      <x:c r="G13" s="33" t="n">
        <x:v>18</x:v>
      </x:c>
      <x:c r="H13" s="33" t="n">
        <x:v>6</x:v>
      </x:c>
      <x:c r="I13" s="27" t="str">
        <x:v>[1 2 3 4 5 6]</x:v>
      </x:c>
      <x:c r="J13" s="34" t="n">
        <x:v>0.98334021090076</x:v>
      </x:c>
      <x:c r="K13" s="34" t="n">
        <x:v>0.967682251857322</x:v>
      </x:c>
      <x:c r="L13" s="34" t="n">
        <x:v>0.0156579590434381</x:v>
      </x:c>
      <x:c r="M13" s="35" t="n">
        <x:v>4.83080709886862</x:v>
      </x:c>
      <x:c r="N13" s="35" t="n">
        <x:v>4.77119081542636</x:v>
      </x:c>
      <x:c r="O13" s="35" t="n">
        <x:v>0.0596162834422636</x:v>
      </x:c>
      <x:c r="P13" s="35" t="n">
        <x:v>0.589364159413014</x:v>
      </x:c>
      <x:c r="Q13" s="35" t="n">
        <x:v>0.984369999921653</x:v>
      </x:c>
      <x:c r="R13" s="35" t="n">
        <x:v>0.395005840508638</x:v>
      </x:c>
      <x:c r="S13" s="35" t="n">
        <x:v>178.933892562955</x:v>
      </x:c>
      <x:c r="T13" s="35" t="n">
        <x:v>49.4154309293207</x:v>
      </x:c>
      <x:c r="U13" s="35" t="n">
        <x:v>50.4815383663654</x:v>
      </x:c>
      <x:c r="V13" s="27" t="str">
        <x:v>OK</x:v>
      </x:c>
      <x:c r="W13" s="27" t="str">
        <x:v>D:\MATLAB\placido\Data\Images\SPDA\Control\RI_OD.jpg</x:v>
      </x:c>
    </x:row>
    <x:row r="14">
      <x:c r="A14" s="36" t="str">
        <x:v>Available for further review; agreement is less balanced than the recommended control images.</x:v>
      </x:c>
      <x:c r="B14" s="27" t="str">
        <x:v>Control</x:v>
      </x:c>
      <x:c r="C14" s="27" t="str">
        <x:v>KR_OD</x:v>
      </x:c>
      <x:c r="D14" s="33" t="n">
        <x:v>12</x:v>
      </x:c>
      <x:c r="E14" s="33" t="n">
        <x:v>6</x:v>
      </x:c>
      <x:c r="F14" s="33" t="n">
        <x:v>22</x:v>
      </x:c>
      <x:c r="G14" s="33" t="n">
        <x:v>19</x:v>
      </x:c>
      <x:c r="H14" s="33" t="n">
        <x:v>6</x:v>
      </x:c>
      <x:c r="I14" s="27" t="str">
        <x:v>[1 2 3 4 5 6]</x:v>
      </x:c>
      <x:c r="J14" s="34" t="n">
        <x:v>0.982547483282146</x:v>
      </x:c>
      <x:c r="K14" s="34" t="n">
        <x:v>0.974040544308284</x:v>
      </x:c>
      <x:c r="L14" s="34" t="n">
        <x:v>0.00850693897386146</x:v>
      </x:c>
      <x:c r="M14" s="35" t="n">
        <x:v>6.86337820501541</x:v>
      </x:c>
      <x:c r="N14" s="35" t="n">
        <x:v>4.74053461192653</x:v>
      </x:c>
      <x:c r="O14" s="35" t="n">
        <x:v>2.12284359308888</x:v>
      </x:c>
      <x:c r="P14" s="35" t="n">
        <x:v>0.35950838312508</x:v>
      </x:c>
      <x:c r="Q14" s="35" t="n">
        <x:v>1.29366630110562</x:v>
      </x:c>
      <x:c r="R14" s="35" t="n">
        <x:v>0.934157917980535</x:v>
      </x:c>
      <x:c r="S14" s="35" t="n">
        <x:v>8.36997314876818</x:v>
      </x:c>
      <x:c r="T14" s="35" t="n">
        <x:v>103.744023459153</x:v>
      </x:c>
      <x:c r="U14" s="35" t="n">
        <x:v>84.6259496896147</x:v>
      </x:c>
      <x:c r="V14" s="27" t="str">
        <x:v>OK</x:v>
      </x:c>
      <x:c r="W14" s="27" t="str">
        <x:v>D:\MATLAB\placido\Data\Images\SPDA\Control\KR_OD.jpg</x:v>
      </x:c>
    </x:row>
    <x:row r="15">
      <x:c r="A15" s="36" t="str">
        <x:v>Available for further review; agreement is less balanced than the recommended control images.</x:v>
      </x:c>
      <x:c r="B15" s="27" t="str">
        <x:v>Control</x:v>
      </x:c>
      <x:c r="C15" s="27" t="str">
        <x:v>RI_OS</x:v>
      </x:c>
      <x:c r="D15" s="33" t="n">
        <x:v>10</x:v>
      </x:c>
      <x:c r="E15" s="33" t="n">
        <x:v>5</x:v>
      </x:c>
      <x:c r="F15" s="33" t="n">
        <x:v>21</x:v>
      </x:c>
      <x:c r="G15" s="33" t="n">
        <x:v>14</x:v>
      </x:c>
      <x:c r="H15" s="33" t="n">
        <x:v>5</x:v>
      </x:c>
      <x:c r="I15" s="27" t="str">
        <x:v>[1 2 3 4 5]</x:v>
      </x:c>
      <x:c r="J15" s="34" t="n">
        <x:v>0.978453112684122</x:v>
      </x:c>
      <x:c r="K15" s="34" t="n">
        <x:v>0.986318242040976</x:v>
      </x:c>
      <x:c r="L15" s="34" t="n">
        <x:v>0.00786512935685435</x:v>
      </x:c>
      <x:c r="M15" s="35" t="n">
        <x:v>1.08314949531037</x:v>
      </x:c>
      <x:c r="N15" s="35" t="n">
        <x:v>3.96077793936342</x:v>
      </x:c>
      <x:c r="O15" s="35" t="n">
        <x:v>2.87762844405305</x:v>
      </x:c>
      <x:c r="P15" s="35" t="n">
        <x:v>1.26723321603829</x:v>
      </x:c>
      <x:c r="Q15" s="35" t="n">
        <x:v>2.56362364641013</x:v>
      </x:c>
      <x:c r="R15" s="35" t="n">
        <x:v>1.29639043037184</x:v>
      </x:c>
      <x:c r="S15" s="35" t="n">
        <x:v>9.78489105407678</x:v>
      </x:c>
      <x:c r="T15" s="35" t="n">
        <x:v>16.5500774212733</x:v>
      </x:c>
      <x:c r="U15" s="35" t="n">
        <x:v>6.76518636719652</x:v>
      </x:c>
      <x:c r="V15" s="27" t="str">
        <x:v>OK</x:v>
      </x:c>
      <x:c r="W15" s="27" t="str">
        <x:v>D:\MATLAB\placido\Data\Images\SPDA\Control\RI_OS.jpg</x:v>
      </x:c>
    </x:row>
    <x:row r="16">
      <x:c r="A16" s="36" t="str">
        <x:v>Available for further review; agreement is less balanced than the recommended control images.</x:v>
      </x:c>
      <x:c r="B16" s="27" t="str">
        <x:v>KCN</x:v>
      </x:c>
      <x:c r="C16" s="27" t="str">
        <x:v>JC_OS</x:v>
      </x:c>
      <x:c r="D16" s="33" t="n">
        <x:v>13</x:v>
      </x:c>
      <x:c r="E16" s="33" t="n">
        <x:v>5</x:v>
      </x:c>
      <x:c r="F16" s="33" t="n">
        <x:v>22</x:v>
      </x:c>
      <x:c r="G16" s="33" t="n">
        <x:v>13</x:v>
      </x:c>
      <x:c r="H16" s="33" t="n">
        <x:v>5</x:v>
      </x:c>
      <x:c r="I16" s="27" t="str">
        <x:v>[2 3 4 5 6]</x:v>
      </x:c>
      <x:c r="J16" s="34" t="n">
        <x:v>0.955779220554936</x:v>
      </x:c>
      <x:c r="K16" s="34" t="n">
        <x:v>0.981935601102307</x:v>
      </x:c>
      <x:c r="L16" s="34" t="n">
        <x:v>0.0261563805473708</x:v>
      </x:c>
      <x:c r="M16" s="35" t="n">
        <x:v>3.60003759874474</x:v>
      </x:c>
      <x:c r="N16" s="35" t="n">
        <x:v>8.36341890180667</x:v>
      </x:c>
      <x:c r="O16" s="35" t="n">
        <x:v>4.76338130306193</x:v>
      </x:c>
      <x:c r="P16" s="35" t="n">
        <x:v>3.89017040764584</x:v>
      </x:c>
      <x:c r="Q16" s="35" t="n">
        <x:v>7.97189272207442</x:v>
      </x:c>
      <x:c r="R16" s="35" t="n">
        <x:v>4.08172231442859</x:v>
      </x:c>
      <x:c r="S16" s="35" t="n">
        <x:v>108.413222789347</x:v>
      </x:c>
      <x:c r="T16" s="35" t="n">
        <x:v>92.5389909012864</x:v>
      </x:c>
      <x:c r="U16" s="35" t="n">
        <x:v>15.8742318880606</x:v>
      </x:c>
      <x:c r="V16" s="27" t="str">
        <x:v>OK</x:v>
      </x:c>
      <x:c r="W16" s="27" t="str">
        <x:v>D:\MATLAB\placido\Data\Images\SPDA\KCN\JC_OS.jpg</x:v>
      </x:c>
    </x:row>
    <x:row r="17">
      <x:c r="A17" s="36" t="str">
        <x:v>KCN option if a diseased-eye example is required. Only four common complete mires.</x:v>
      </x:c>
      <x:c r="B17" s="27" t="str">
        <x:v>KCN</x:v>
      </x:c>
      <x:c r="C17" s="27" t="str">
        <x:v>SM_OD</x:v>
      </x:c>
      <x:c r="D17" s="33" t="n">
        <x:v>9</x:v>
      </x:c>
      <x:c r="E17" s="33" t="n">
        <x:v>4</x:v>
      </x:c>
      <x:c r="F17" s="33" t="n">
        <x:v>22</x:v>
      </x:c>
      <x:c r="G17" s="33" t="n">
        <x:v>12</x:v>
      </x:c>
      <x:c r="H17" s="33" t="n">
        <x:v>4</x:v>
      </x:c>
      <x:c r="I17" s="27" t="str">
        <x:v>[1 2 3 4]</x:v>
      </x:c>
      <x:c r="J17" s="34" t="n">
        <x:v>0.91548914483172</x:v>
      </x:c>
      <x:c r="K17" s="34" t="n">
        <x:v>0.980478290064597</x:v>
      </x:c>
      <x:c r="L17" s="34" t="n">
        <x:v>0.0649891452328767</x:v>
      </x:c>
      <x:c r="M17" s="35" t="n">
        <x:v>8.16170013655799</x:v>
      </x:c>
      <x:c r="N17" s="35" t="n">
        <x:v>8.01195347470894</x:v>
      </x:c>
      <x:c r="O17" s="35" t="n">
        <x:v>0.149746661849045</x:v>
      </x:c>
      <x:c r="P17" s="35" t="n">
        <x:v>6.40021275091667</x:v>
      </x:c>
      <x:c r="Q17" s="35" t="n">
        <x:v>7.93187509480641</x:v>
      </x:c>
      <x:c r="R17" s="35" t="n">
        <x:v>1.53166234388974</x:v>
      </x:c>
      <x:c r="S17" s="35" t="n">
        <x:v>24.9882924779409</x:v>
      </x:c>
      <x:c r="T17" s="35" t="n">
        <x:v>14.4959027625801</x:v>
      </x:c>
      <x:c r="U17" s="35" t="n">
        <x:v>10.4923897153608</x:v>
      </x:c>
      <x:c r="V17" s="27" t="str">
        <x:v>OK</x:v>
      </x:c>
      <x:c r="W17" s="27" t="str">
        <x:v>D:\MATLAB\placido\Data\Images\SPDA\KCN\SM_OD.jpg</x:v>
      </x:c>
    </x:row>
    <x:row r="18">
      <x:c r="A18" s="36" t="str">
        <x:v>Close axis and eigen-ratio values, but only three common complete mires.</x:v>
      </x:c>
      <x:c r="B18" s="27" t="str">
        <x:v>KCN</x:v>
      </x:c>
      <x:c r="C18" s="27" t="str">
        <x:v>PK_OS</x:v>
      </x:c>
      <x:c r="D18" s="33" t="n">
        <x:v>12</x:v>
      </x:c>
      <x:c r="E18" s="33" t="n">
        <x:v>3</x:v>
      </x:c>
      <x:c r="F18" s="33" t="n">
        <x:v>22</x:v>
      </x:c>
      <x:c r="G18" s="33" t="n">
        <x:v>17</x:v>
      </x:c>
      <x:c r="H18" s="33" t="n">
        <x:v>3</x:v>
      </x:c>
      <x:c r="I18" s="27" t="str">
        <x:v>[1 2 3]</x:v>
      </x:c>
      <x:c r="J18" s="34" t="n">
        <x:v>0.969687010514793</x:v>
      </x:c>
      <x:c r="K18" s="34" t="n">
        <x:v>0.968280955942015</x:v>
      </x:c>
      <x:c r="L18" s="34" t="n">
        <x:v>0.00140605457277843</x:v>
      </x:c>
      <x:c r="M18" s="35" t="n">
        <x:v>9.62801649889386</x:v>
      </x:c>
      <x:c r="N18" s="35" t="n">
        <x:v>3.81264871375462</x:v>
      </x:c>
      <x:c r="O18" s="35" t="n">
        <x:v>5.81536778513924</x:v>
      </x:c>
      <x:c r="P18" s="35" t="n">
        <x:v>0.520001005954236</x:v>
      </x:c>
      <x:c r="Q18" s="35" t="n">
        <x:v>0.672792536179426</x:v>
      </x:c>
      <x:c r="R18" s="35" t="n">
        <x:v>0.15279153022519</x:v>
      </x:c>
      <x:c r="S18" s="35" t="n">
        <x:v>152.957496579669</x:v>
      </x:c>
      <x:c r="T18" s="35" t="n">
        <x:v>153.444700053055</x:v>
      </x:c>
      <x:c r="U18" s="35" t="n">
        <x:v>0.487203473386813</x:v>
      </x:c>
      <x:c r="V18" s="27" t="str">
        <x:v>OK</x:v>
      </x:c>
      <x:c r="W18" s="27" t="str">
        <x:v>D:\MATLAB\placido\Data\Images\SPDA\KCN\PK_OS.jpg</x:v>
      </x:c>
    </x:row>
    <x:row r="19">
      <x:c r="A19" s="36" t="str">
        <x:v>Available for further review; agreement is less balanced than the recommended control images.</x:v>
      </x:c>
      <x:c r="B19" s="27" t="str">
        <x:v>KCN</x:v>
      </x:c>
      <x:c r="C19" s="27" t="str">
        <x:v>PK_OD</x:v>
      </x:c>
      <x:c r="D19" s="33" t="n">
        <x:v>11</x:v>
      </x:c>
      <x:c r="E19" s="33" t="n">
        <x:v>2</x:v>
      </x:c>
      <x:c r="F19" s="33" t="n">
        <x:v>22</x:v>
      </x:c>
      <x:c r="G19" s="33" t="n">
        <x:v>16</x:v>
      </x:c>
      <x:c r="H19" s="33" t="n">
        <x:v>2</x:v>
      </x:c>
      <x:c r="I19" s="27" t="str">
        <x:v>[2 3]</x:v>
      </x:c>
      <x:c r="J19" s="34" t="n">
        <x:v>0.969822280749815</x:v>
      </x:c>
      <x:c r="K19" s="34" t="n">
        <x:v>0.966346917175908</x:v>
      </x:c>
      <x:c r="L19" s="34" t="n">
        <x:v>0.00347536357390688</x:v>
      </x:c>
      <x:c r="M19" s="35" t="n">
        <x:v>2.25178557044701</x:v>
      </x:c>
      <x:c r="N19" s="35" t="n">
        <x:v>3.90488839044145</x:v>
      </x:c>
      <x:c r="O19" s="35" t="n">
        <x:v>1.65310281999445</x:v>
      </x:c>
      <x:c r="P19" s="35" t="n">
        <x:v>0.506921253079858</x:v>
      </x:c>
      <x:c r="Q19" s="35" t="n">
        <x:v>0.637647669542291</x:v>
      </x:c>
      <x:c r="R19" s="35" t="n">
        <x:v>0.130726416462433</x:v>
      </x:c>
      <x:c r="S19" s="35" t="n">
        <x:v>29.7574629883358</x:v>
      </x:c>
      <x:c r="T19" s="35" t="n">
        <x:v>21.0072073178668</x:v>
      </x:c>
      <x:c r="U19" s="35" t="n">
        <x:v>8.75025567046906</x:v>
      </x:c>
      <x:c r="V19" s="27" t="str">
        <x:v>OK</x:v>
      </x:c>
      <x:c r="W19" s="27" t="str">
        <x:v>D:\MATLAB\placido\Data\Images\SPDA\KCN\PK_OD.jpg</x:v>
      </x:c>
    </x:row>
    <x:row r="20">
      <x:c r="A20" s="36" t="str">
        <x:v>Do not use for trial. No common complete mires.</x:v>
      </x:c>
      <x:c r="B20" s="27" t="str">
        <x:v>Control</x:v>
      </x:c>
      <x:c r="C20" s="27" t="str">
        <x:v>SM_OS</x:v>
      </x:c>
      <x:c r="D20" s="33" t="n">
        <x:v>4</x:v>
      </x:c>
      <x:c r="E20" s="33" t="n">
        <x:v>0</x:v>
      </x:c>
      <x:c r="F20" s="33" t="n">
        <x:v>22</x:v>
      </x:c>
      <x:c r="G20" s="33" t="n">
        <x:v>17</x:v>
      </x:c>
      <x:c r="H20" s="33" t="n">
        <x:v>0</x:v>
      </x:c>
      <x:c r="I20" s="27" t="str">
        <x:v>None</x:v>
      </x:c>
      <x:c r="J20" s="34"/>
      <x:c r="K20" s="34"/>
      <x:c r="L20" s="34"/>
      <x:c r="M20" s="35"/>
      <x:c r="N20" s="35"/>
      <x:c r="O20" s="35"/>
      <x:c r="P20" s="35"/>
      <x:c r="Q20" s="35"/>
      <x:c r="R20" s="35"/>
      <x:c r="S20" s="35"/>
      <x:c r="T20" s="35"/>
      <x:c r="U20" s="35"/>
      <x:c r="V20" s="27" t="str">
        <x:v>NO_COMMON_COMPLETE_MIRES</x:v>
      </x:c>
      <x:c r="W20" s="27" t="str">
        <x:v>D:\MATLAB\placido\Data\Images\SPDA\Control\SM_OS.jpg</x:v>
      </x:c>
    </x:row>
  </x:sheetData>
  <x:mergeCells>
    <x:mergeCell ref="A2:W2"/>
  </x:mergeCells>
  <x:conditionalFormatting sqref="H5:H20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conditionalFormatting sqref="U5:U20">
    <x:cfRule type="colorScale" priority="2">
      <x:colorScale>
        <x:cfvo type="min"/>
        <x:cfvo type="percentile" val="50"/>
        <x:cfvo type="max"/>
        <x:color rgb="FFE2F0D9"/>
        <x:color rgb="FFFFF2CC"/>
        <x:color rgb="FFFCE8E6"/>
      </x:colorScale>
    </x:cfRule>
  </x:conditionalFormatting>
  <x:conditionalFormatting sqref="V5:V20">
    <x:cfRule type="containsText" dxfId="0" priority="3" operator="containsText" text="NO_COMMON_COMPLETE_MIRES"/>
  </x:conditionalFormatting>
  <x:pageMargins left="0.7" right="0.7" top="0.75" bottom="0.75" header="0.3" footer="0.3"/>
  <x:tableParts count="1">
    <x:tablePart xmlns:r="http://schemas.openxmlformats.org/officeDocument/2006/relationships" r:id="Refb7546d27ba47c2"/>
  </x:tableParts>
</x:worksheet>
</file>